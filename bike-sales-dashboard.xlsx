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ata Analyst\Excel Prac\Excel Projects\"/>
    </mc:Choice>
  </mc:AlternateContent>
  <xr:revisionPtr revIDLastSave="0" documentId="13_ncr:1_{E5C14A50-0B34-4EA6-B97E-EBF889F1A7BD}" xr6:coauthVersionLast="47" xr6:coauthVersionMax="47" xr10:uidLastSave="{00000000-0000-0000-0000-000000000000}"/>
  <bookViews>
    <workbookView xWindow="-108" yWindow="-108" windowWidth="23256" windowHeight="12456" activeTab="3" xr2:uid="{00000000-000D-0000-FFFF-FFFF00000000}"/>
  </bookViews>
  <sheets>
    <sheet name="bike_buyers(Raw Data)" sheetId="1" r:id="rId1"/>
    <sheet name="Working Sheet" sheetId="2" r:id="rId2"/>
    <sheet name="Pivot Table" sheetId="5" r:id="rId3"/>
    <sheet name="Dashboard" sheetId="4" r:id="rId4"/>
  </sheets>
  <definedNames>
    <definedName name="_xlnm._FilterDatabase" localSheetId="0" hidden="1">'bike_buyers(Raw Data)'!$A$1:$M$1001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<sst xmlns="http://schemas.openxmlformats.org/spreadsheetml/2006/main" count="16267" uniqueCount="51">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</sst>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70C0"/>
      <name val="Calibri"/>
      <family val="2"/>
      <scheme val="minor"/>
    </font>
    <font>
      <b/>
      <sz val="36"/>
      <color theme="0"/>
      <name val="Montserrat Black"/>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xf>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5EAE-437A-9772-84E76CFF47B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5EAE-437A-9772-84E76CFF47BB}"/>
            </c:ext>
          </c:extLst>
        </c:ser>
        <c:dLbls>
          <c:showLegendKey val="0"/>
          <c:showVal val="0"/>
          <c:showCatName val="0"/>
          <c:showSerName val="0"/>
          <c:showPercent val="0"/>
          <c:showBubbleSize val="0"/>
        </c:dLbls>
        <c:gapWidth val="219"/>
        <c:overlap val="-27"/>
        <c:axId val="1256450927"/>
        <c:axId val="1256440847"/>
      </c:barChart>
      <c:catAx>
        <c:axId val="1256450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40847"/>
        <c:crosses val="autoZero"/>
        <c:auto val="1"/>
        <c:lblAlgn val="ctr"/>
        <c:lblOffset val="100"/>
        <c:noMultiLvlLbl val="0"/>
      </c:catAx>
      <c:valAx>
        <c:axId val="1256440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509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BD8-45DF-B6A0-0FBBCC2AD09F}"/>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BD8-45DF-B6A0-0FBBCC2AD09F}"/>
            </c:ext>
          </c:extLst>
        </c:ser>
        <c:dLbls>
          <c:showLegendKey val="0"/>
          <c:showVal val="0"/>
          <c:showCatName val="0"/>
          <c:showSerName val="0"/>
          <c:showPercent val="0"/>
          <c:showBubbleSize val="0"/>
        </c:dLbls>
        <c:smooth val="0"/>
        <c:axId val="1256404367"/>
        <c:axId val="1256409167"/>
      </c:lineChart>
      <c:catAx>
        <c:axId val="1256404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09167"/>
        <c:crosses val="autoZero"/>
        <c:auto val="1"/>
        <c:lblAlgn val="ctr"/>
        <c:lblOffset val="100"/>
        <c:noMultiLvlLbl val="0"/>
      </c:catAx>
      <c:valAx>
        <c:axId val="125640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0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Table'!$A$47:$A$50</c:f>
              <c:strCache>
                <c:ptCount val="3"/>
                <c:pt idx="0">
                  <c:v>Adolescent</c:v>
                </c:pt>
                <c:pt idx="1">
                  <c:v>Middle Aged</c:v>
                </c:pt>
                <c:pt idx="2">
                  <c:v>Old</c:v>
                </c:pt>
              </c:strCache>
            </c:strRef>
          </c:cat>
          <c:val>
            <c:numRef>
              <c:f>'Pivot 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FDB-42EA-944B-BFA5B28DEADA}"/>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Table'!$A$47:$A$50</c:f>
              <c:strCache>
                <c:ptCount val="3"/>
                <c:pt idx="0">
                  <c:v>Adolescent</c:v>
                </c:pt>
                <c:pt idx="1">
                  <c:v>Middle Aged</c:v>
                </c:pt>
                <c:pt idx="2">
                  <c:v>Old</c:v>
                </c:pt>
              </c:strCache>
            </c:strRef>
          </c:cat>
          <c:val>
            <c:numRef>
              <c:f>'Pivot 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FDB-42EA-944B-BFA5B28DEADA}"/>
            </c:ext>
          </c:extLst>
        </c:ser>
        <c:dLbls>
          <c:showLegendKey val="0"/>
          <c:showVal val="0"/>
          <c:showCatName val="0"/>
          <c:showSerName val="0"/>
          <c:showPercent val="0"/>
          <c:showBubbleSize val="0"/>
        </c:dLbls>
        <c:marker val="1"/>
        <c:smooth val="0"/>
        <c:axId val="1256422607"/>
        <c:axId val="1256406287"/>
      </c:lineChart>
      <c:catAx>
        <c:axId val="125642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06287"/>
        <c:crosses val="autoZero"/>
        <c:auto val="1"/>
        <c:lblAlgn val="ctr"/>
        <c:lblOffset val="100"/>
        <c:noMultiLvlLbl val="0"/>
      </c:catAx>
      <c:valAx>
        <c:axId val="125640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2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002D-49C3-9C44-196A8219C8A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002D-49C3-9C44-196A8219C8AB}"/>
            </c:ext>
          </c:extLst>
        </c:ser>
        <c:dLbls>
          <c:showLegendKey val="0"/>
          <c:showVal val="0"/>
          <c:showCatName val="0"/>
          <c:showSerName val="0"/>
          <c:showPercent val="0"/>
          <c:showBubbleSize val="0"/>
        </c:dLbls>
        <c:gapWidth val="219"/>
        <c:overlap val="-27"/>
        <c:axId val="1256450927"/>
        <c:axId val="1256440847"/>
      </c:barChart>
      <c:catAx>
        <c:axId val="1256450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40847"/>
        <c:crosses val="autoZero"/>
        <c:auto val="1"/>
        <c:lblAlgn val="ctr"/>
        <c:lblOffset val="100"/>
        <c:noMultiLvlLbl val="0"/>
      </c:catAx>
      <c:valAx>
        <c:axId val="1256440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509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Table'!$B$22:$B$23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2649-4D3F-9E1C-9DF52516B8D4}"/>
            </c:ext>
          </c:extLst>
        </c:ser>
        <c:ser>
          <c:idx val="1"/>
          <c:order val="1"/>
          <c:tx>
            <c:strRef>
              <c:f>'Pivot Table'!$C$22:$C$23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2649-4D3F-9E1C-9DF52516B8D4}"/>
            </c:ext>
          </c:extLst>
        </c:ser>
        <c:dLbls>
          <c:showLegendKey val="0"/>
          <c:showVal val="0"/>
          <c:showCatName val="0"/>
          <c:showSerName val="0"/>
          <c:showPercent val="0"/>
          <c:showBubbleSize val="0"/>
        </c:dLbls>
        <c:gapWidth val="150"/>
        <c:axId val="1256404367"/>
        <c:axId val="1256409167"/>
      </c:barChart>
      <c:catAx>
        <c:axId val="125640436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56409167"/>
        <c:crosses val="autoZero"/>
        <c:auto val="1"/>
        <c:lblAlgn val="ctr"/>
        <c:lblOffset val="100"/>
        <c:noMultiLvlLbl val="0"/>
      </c:catAx>
      <c:valAx>
        <c:axId val="125640916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5640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Table'!$B$45:$B$46</c:f>
              <c:strCache>
                <c:ptCount val="1"/>
                <c:pt idx="0">
                  <c:v>No</c:v>
                </c:pt>
              </c:strCache>
            </c:strRef>
          </c:tx>
          <c:spPr>
            <a:solidFill>
              <a:schemeClr val="accent1"/>
            </a:solidFill>
            <a:ln>
              <a:noFill/>
            </a:ln>
            <a:effectLst/>
          </c:spPr>
          <c:invertIfNegative val="0"/>
          <c:cat>
            <c:strRef>
              <c:f>'Pivot Table'!$A$47:$A$50</c:f>
              <c:strCache>
                <c:ptCount val="3"/>
                <c:pt idx="0">
                  <c:v>Adolescent</c:v>
                </c:pt>
                <c:pt idx="1">
                  <c:v>Middle Aged</c:v>
                </c:pt>
                <c:pt idx="2">
                  <c:v>Old</c:v>
                </c:pt>
              </c:strCache>
            </c:strRef>
          </c:cat>
          <c:val>
            <c:numRef>
              <c:f>'Pivot Table'!$B$47:$B$50</c:f>
              <c:numCache>
                <c:formatCode>General</c:formatCode>
                <c:ptCount val="3"/>
                <c:pt idx="0">
                  <c:v>71</c:v>
                </c:pt>
                <c:pt idx="1">
                  <c:v>318</c:v>
                </c:pt>
                <c:pt idx="2">
                  <c:v>130</c:v>
                </c:pt>
              </c:numCache>
            </c:numRef>
          </c:val>
          <c:extLst>
            <c:ext xmlns:c16="http://schemas.microsoft.com/office/drawing/2014/chart" uri="{C3380CC4-5D6E-409C-BE32-E72D297353CC}">
              <c16:uniqueId val="{00000000-B2F7-416A-AC6D-4F3349C77A9C}"/>
            </c:ext>
          </c:extLst>
        </c:ser>
        <c:ser>
          <c:idx val="1"/>
          <c:order val="1"/>
          <c:tx>
            <c:strRef>
              <c:f>'Pivot Table'!$C$45:$C$46</c:f>
              <c:strCache>
                <c:ptCount val="1"/>
                <c:pt idx="0">
                  <c:v>Yes</c:v>
                </c:pt>
              </c:strCache>
            </c:strRef>
          </c:tx>
          <c:spPr>
            <a:solidFill>
              <a:schemeClr val="accent2"/>
            </a:solidFill>
            <a:ln>
              <a:noFill/>
            </a:ln>
            <a:effectLst/>
          </c:spPr>
          <c:invertIfNegative val="0"/>
          <c:cat>
            <c:strRef>
              <c:f>'Pivot Table'!$A$47:$A$50</c:f>
              <c:strCache>
                <c:ptCount val="3"/>
                <c:pt idx="0">
                  <c:v>Adolescent</c:v>
                </c:pt>
                <c:pt idx="1">
                  <c:v>Middle Aged</c:v>
                </c:pt>
                <c:pt idx="2">
                  <c:v>Old</c:v>
                </c:pt>
              </c:strCache>
            </c:strRef>
          </c:cat>
          <c:val>
            <c:numRef>
              <c:f>'Pivot Table'!$C$47:$C$50</c:f>
              <c:numCache>
                <c:formatCode>General</c:formatCode>
                <c:ptCount val="3"/>
                <c:pt idx="0">
                  <c:v>39</c:v>
                </c:pt>
                <c:pt idx="1">
                  <c:v>383</c:v>
                </c:pt>
                <c:pt idx="2">
                  <c:v>59</c:v>
                </c:pt>
              </c:numCache>
            </c:numRef>
          </c:val>
          <c:extLst>
            <c:ext xmlns:c16="http://schemas.microsoft.com/office/drawing/2014/chart" uri="{C3380CC4-5D6E-409C-BE32-E72D297353CC}">
              <c16:uniqueId val="{00000001-B2F7-416A-AC6D-4F3349C77A9C}"/>
            </c:ext>
          </c:extLst>
        </c:ser>
        <c:dLbls>
          <c:showLegendKey val="0"/>
          <c:showVal val="0"/>
          <c:showCatName val="0"/>
          <c:showSerName val="0"/>
          <c:showPercent val="0"/>
          <c:showBubbleSize val="0"/>
        </c:dLbls>
        <c:gapWidth val="150"/>
        <c:axId val="1256422607"/>
        <c:axId val="1256406287"/>
      </c:barChart>
      <c:catAx>
        <c:axId val="125642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06287"/>
        <c:crosses val="autoZero"/>
        <c:auto val="1"/>
        <c:lblAlgn val="ctr"/>
        <c:lblOffset val="100"/>
        <c:noMultiLvlLbl val="0"/>
      </c:catAx>
      <c:valAx>
        <c:axId val="125640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2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464820</xdr:colOff>
      <xdr:row>1</xdr:row>
      <xdr:rowOff>3810</xdr:rowOff>
    </xdr:from>
    <xdr:to>
      <xdr:col>12</xdr:col>
      <xdr:colOff>518160</xdr:colOff>
      <xdr:row>17</xdr:row>
      <xdr:rowOff>91440</xdr:rowOff>
    </xdr:to>
    <xdr:graphicFrame macro="">
      <xdr:nvGraphicFramePr>
        <xdr:cNvPr id="2" name="Chart 1">
          <a:extLst>
            <a:ext uri="{FF2B5EF4-FFF2-40B4-BE49-F238E27FC236}">
              <a16:creationId xmlns:a16="http://schemas.microsoft.com/office/drawing/2014/main" id="{DB5BC852-DCE0-DD56-7AC7-9BB64E55D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xdr:colOff>
      <xdr:row>19</xdr:row>
      <xdr:rowOff>125730</xdr:rowOff>
    </xdr:from>
    <xdr:to>
      <xdr:col>12</xdr:col>
      <xdr:colOff>388620</xdr:colOff>
      <xdr:row>34</xdr:row>
      <xdr:rowOff>125730</xdr:rowOff>
    </xdr:to>
    <xdr:graphicFrame macro="">
      <xdr:nvGraphicFramePr>
        <xdr:cNvPr id="3" name="Chart 2">
          <a:extLst>
            <a:ext uri="{FF2B5EF4-FFF2-40B4-BE49-F238E27FC236}">
              <a16:creationId xmlns:a16="http://schemas.microsoft.com/office/drawing/2014/main" id="{DB3D75E7-6A0F-DDCB-49E1-16C128CAC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601980</xdr:colOff>
      <xdr:row>44</xdr:row>
      <xdr:rowOff>3810</xdr:rowOff>
    </xdr:from>
    <xdr:to>
      <xdr:col>13</xdr:col>
      <xdr:colOff>297180</xdr:colOff>
      <xdr:row>59</xdr:row>
      <xdr:rowOff>3810</xdr:rowOff>
    </xdr:to>
    <xdr:graphicFrame macro="">
      <xdr:nvGraphicFramePr>
        <xdr:cNvPr id="4" name="Chart 3">
          <a:extLst>
            <a:ext uri="{FF2B5EF4-FFF2-40B4-BE49-F238E27FC236}">
              <a16:creationId xmlns:a16="http://schemas.microsoft.com/office/drawing/2014/main" id="{54520D14-0B1C-5B73-A763-EFC93B1D8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396240</xdr:colOff>
      <xdr:row>7</xdr:row>
      <xdr:rowOff>27477</xdr:rowOff>
    </xdr:from>
    <xdr:to>
      <xdr:col>8</xdr:col>
      <xdr:colOff>58616</xdr:colOff>
      <xdr:row>19</xdr:row>
      <xdr:rowOff>106350</xdr:rowOff>
    </xdr:to>
    <xdr:graphicFrame macro="">
      <xdr:nvGraphicFramePr>
        <xdr:cNvPr id="2" name="Chart 1">
          <a:extLst>
            <a:ext uri="{FF2B5EF4-FFF2-40B4-BE49-F238E27FC236}">
              <a16:creationId xmlns:a16="http://schemas.microsoft.com/office/drawing/2014/main" id="{CD36EBFE-8840-404D-88FB-DF1A8C2CC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393806</xdr:colOff>
      <xdr:row>19</xdr:row>
      <xdr:rowOff>174783</xdr:rowOff>
    </xdr:from>
    <xdr:to>
      <xdr:col>13</xdr:col>
      <xdr:colOff>4900</xdr:colOff>
      <xdr:row>32</xdr:row>
      <xdr:rowOff>7620</xdr:rowOff>
    </xdr:to>
    <xdr:graphicFrame macro="">
      <xdr:nvGraphicFramePr>
        <xdr:cNvPr id="3" name="Chart 2">
          <a:extLst>
            <a:ext uri="{FF2B5EF4-FFF2-40B4-BE49-F238E27FC236}">
              <a16:creationId xmlns:a16="http://schemas.microsoft.com/office/drawing/2014/main" id="{2D3482A7-0EC2-419B-9011-68830486F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94361</xdr:colOff>
      <xdr:row>7</xdr:row>
      <xdr:rowOff>27475</xdr:rowOff>
    </xdr:from>
    <xdr:to>
      <xdr:col>13</xdr:col>
      <xdr:colOff>2294</xdr:colOff>
      <xdr:row>19</xdr:row>
      <xdr:rowOff>107950</xdr:rowOff>
    </xdr:to>
    <xdr:graphicFrame macro="">
      <xdr:nvGraphicFramePr>
        <xdr:cNvPr id="4" name="Chart 3">
          <a:extLst>
            <a:ext uri="{FF2B5EF4-FFF2-40B4-BE49-F238E27FC236}">
              <a16:creationId xmlns:a16="http://schemas.microsoft.com/office/drawing/2014/main" id="{4A0103E3-EC2B-424C-A93B-9BCF2D0E2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25966</xdr:rowOff>
    </xdr:from>
    <xdr:to>
      <xdr:col>2</xdr:col>
      <xdr:colOff>365760</xdr:colOff>
      <xdr:row>12</xdr:row>
      <xdr:rowOff>59291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7BC6216-474F-31B4-BB45-5F761A54418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341199"/>
              <a:ext cx="1576609" cy="972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10179</xdr:rowOff>
    </xdr:from>
    <xdr:to>
      <xdr:col>2</xdr:col>
      <xdr:colOff>342579</xdr:colOff>
      <xdr:row>28</xdr:row>
      <xdr:rowOff>57631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A10345A8-E9F1-096C-7B43-ED5DC317906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580097"/>
              <a:ext cx="1553428" cy="1738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86361</xdr:rowOff>
    </xdr:from>
    <xdr:to>
      <xdr:col>2</xdr:col>
      <xdr:colOff>355600</xdr:colOff>
      <xdr:row>18</xdr:row>
      <xdr:rowOff>152401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10986F6-80D1-0062-AC1A-A94DF8C776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341046"/>
              <a:ext cx="1566449" cy="1193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ant" refreshedDate="46131.002858217595" createdVersion="8" refreshedVersion="8" minRefreshableVersion="3" recordCount="1000" xr:uid="{71716136-732C-459D-9458-6517C1B2E35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41329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18483F-4C86-4330-AB39-112B2E07B2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DED5C5-C81B-40E4-8914-C5472E81BB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5AABCC-FC2C-4C34-B092-E8BCED064D7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5:D5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0CEFCB-C054-4829-8184-906CA56B5EF8}" sourceName="Marital Status">
  <pivotTables>
    <pivotTable tabId="5" name="PivotTable2"/>
    <pivotTable tabId="5" name="PivotTable3"/>
    <pivotTable tabId="5" name="PivotTable4"/>
  </pivotTables>
  <data>
    <tabular pivotCacheId="14413292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C3CCAB3-F640-4BB7-A20B-BDFFA027D919}" sourceName="Education">
  <pivotTables>
    <pivotTable tabId="5" name="PivotTable2"/>
    <pivotTable tabId="5" name="PivotTable3"/>
    <pivotTable tabId="5" name="PivotTable4"/>
  </pivotTables>
  <data>
    <tabular pivotCacheId="144132924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5DD986-2AF7-4D8B-9399-9EFB72D6510B}" sourceName="Region">
  <pivotTables>
    <pivotTable tabId="5" name="PivotTable2"/>
    <pivotTable tabId="5" name="PivotTable3"/>
    <pivotTable tabId="5" name="PivotTable4"/>
  </pivotTables>
  <data>
    <tabular pivotCacheId="144132924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078DFE7-D4E1-4773-A648-67732F382B4F}" cache="Slicer_Marital_Status" caption="Marital Status" rowHeight="234950"/>
  <slicer name="Education" xr10:uid="{D0312B8D-E4A5-461D-ABE2-C0AFEBA8D777}" cache="Slicer_Education" caption="Education" rowHeight="234950"/>
  <slicer name="Region" xr10:uid="{E2A8E5BB-E419-4F72-9CC2-7A55ED03A041}"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020A2A-4779-41C3-9AB0-9C7FD89A2749}" name="Table1" displayName="Table1" ref="A1:N1001" totalsRowShown="0">
  <autoFilter ref="A1:N1001" xr:uid="{967A8294-CB4C-4BF1-BA65-7C9289239374}"/>
  <tableColumns count="14">
    <tableColumn id="1" xr3:uid="{84C882A2-213A-42CA-8388-6C24BFA7548E}" name="ID"/>
    <tableColumn id="2" xr3:uid="{65E513B6-D43D-403B-86F2-7534DD287F74}" name="Marital Status"/>
    <tableColumn id="3" xr3:uid="{C223E268-CC77-45D2-BA1C-DF651F624E92}" name="Gender"/>
    <tableColumn id="4" xr3:uid="{649F0BEB-8287-42F9-BAE4-90F55F0EC261}" name="Income" dataDxfId="0"/>
    <tableColumn id="5" xr3:uid="{ABD056C9-F9C0-47C2-9CF4-4BE6520C55BF}" name="Children"/>
    <tableColumn id="6" xr3:uid="{C351259D-6DC9-469A-B519-489D30101F8F}" name="Education"/>
    <tableColumn id="7" xr3:uid="{81D4A193-783C-49AF-8B4E-837BA06A1683}" name="Occupation"/>
    <tableColumn id="8" xr3:uid="{32A56175-2529-42F9-B36A-64FF41DB6E5B}" name="Home Owner"/>
    <tableColumn id="9" xr3:uid="{A84C38ED-12C6-4489-86A3-991397695D56}" name="Cars"/>
    <tableColumn id="10" xr3:uid="{BF462CC7-FC8A-475E-A6B7-3A641C612F4F}" name="Commute Distance"/>
    <tableColumn id="11" xr3:uid="{104D94F1-436F-4791-99CD-DE689E022A41}" name="Region"/>
    <tableColumn id="12" xr3:uid="{5B908E45-2323-4CBC-B725-AFACD9D84938}" name="Age"/>
    <tableColumn id="13" xr3:uid="{022948BB-D53A-4116-9961-AEF07DD2DD15}" name="Age Brackets">
      <calculatedColumnFormula>IF(L2&gt;54, "Old", IF(L2&gt;=31, "Middle Aged", IF(L2&lt;31, "Adolescent", "Invalid")))</calculatedColumnFormula>
    </tableColumn>
    <tableColumn id="14" xr3:uid="{E6E3D3DD-1B48-40CA-AD09-B7AD715E14BC}"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6" sqref="O1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A8294-CB4C-4BF1-BA65-7C9289239374}">
  <dimension ref="A1:N1001"/>
  <sheetViews>
    <sheetView workbookViewId="0">
      <selection activeCell="J10" sqref="J10"/>
    </sheetView>
  </sheetViews>
  <sheetFormatPr defaultColWidth="17.6640625" defaultRowHeight="14.4" x14ac:dyDescent="0.3"/>
  <cols>
    <col min="10" max="10" width="18.77734375" customWidth="1"/>
    <col min="12" max="12" width="18"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 IF(L2&gt;=31, "Middle Aged", IF(L2&lt;31, "Adolescent", "Invalid")))</f>
        <v>Middle Aged</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 IF(L3&gt;=31, "Middle Aged", IF(L3&lt;31, "Adolescent", "Invalid")))</f>
        <v>Middle Aged</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IF(L5&gt;54, "Old", IF(L5&gt;=31, "Middle Aged", IF(L5&lt;31, "Adolescent", "Invalid")))</f>
        <v>Middle Aged</v>
      </c>
      <c r="N5" t="s">
        <v>15</v>
      </c>
    </row>
    <row r="6" spans="1:14" x14ac:dyDescent="0.3">
      <c r="A6">
        <v>25597</v>
      </c>
      <c r="B6" t="s">
        <v>37</v>
      </c>
      <c r="C6" t="s">
        <v>38</v>
      </c>
      <c r="D6" s="3">
        <v>30000</v>
      </c>
      <c r="E6">
        <v>0</v>
      </c>
      <c r="F6" t="s">
        <v>13</v>
      </c>
      <c r="G6" t="s">
        <v>20</v>
      </c>
      <c r="H6" t="s">
        <v>18</v>
      </c>
      <c r="I6">
        <v>0</v>
      </c>
      <c r="J6" t="s">
        <v>16</v>
      </c>
      <c r="K6" t="s">
        <v>17</v>
      </c>
      <c r="L6">
        <v>36</v>
      </c>
      <c r="M6" t="str">
        <f t="shared" si="0"/>
        <v>Middle Aged</v>
      </c>
      <c r="N6" t="s">
        <v>15</v>
      </c>
    </row>
    <row r="7" spans="1:14" x14ac:dyDescent="0.3">
      <c r="A7">
        <v>13507</v>
      </c>
      <c r="B7" t="s">
        <v>36</v>
      </c>
      <c r="C7" t="s">
        <v>39</v>
      </c>
      <c r="D7" s="3">
        <v>10000</v>
      </c>
      <c r="E7">
        <v>2</v>
      </c>
      <c r="F7" t="s">
        <v>19</v>
      </c>
      <c r="G7" t="s">
        <v>25</v>
      </c>
      <c r="H7" t="s">
        <v>15</v>
      </c>
      <c r="I7">
        <v>0</v>
      </c>
      <c r="J7" t="s">
        <v>26</v>
      </c>
      <c r="K7" t="s">
        <v>17</v>
      </c>
      <c r="L7">
        <v>50</v>
      </c>
      <c r="M7" t="str">
        <f t="shared" si="0"/>
        <v>Middle Aged</v>
      </c>
      <c r="N7" t="s">
        <v>18</v>
      </c>
    </row>
    <row r="8" spans="1:14" x14ac:dyDescent="0.3">
      <c r="A8">
        <v>27974</v>
      </c>
      <c r="B8" t="s">
        <v>37</v>
      </c>
      <c r="C8" t="s">
        <v>38</v>
      </c>
      <c r="D8" s="3">
        <v>160000</v>
      </c>
      <c r="E8">
        <v>2</v>
      </c>
      <c r="F8" t="s">
        <v>27</v>
      </c>
      <c r="G8" t="s">
        <v>28</v>
      </c>
      <c r="H8" t="s">
        <v>15</v>
      </c>
      <c r="I8">
        <v>4</v>
      </c>
      <c r="J8" t="s">
        <v>16</v>
      </c>
      <c r="K8" t="s">
        <v>24</v>
      </c>
      <c r="L8">
        <v>33</v>
      </c>
      <c r="M8" t="str">
        <f t="shared" si="0"/>
        <v>Middle Aged</v>
      </c>
      <c r="N8" t="s">
        <v>15</v>
      </c>
    </row>
    <row r="9" spans="1:14" x14ac:dyDescent="0.3">
      <c r="A9">
        <v>19364</v>
      </c>
      <c r="B9" t="s">
        <v>36</v>
      </c>
      <c r="C9" t="s">
        <v>38</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Aged</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Aged</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Aged</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Aged</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Aged</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 IF(L67&gt;=31, "Middle Aged", IF(L67&lt;31, "Adolescent", "Invalid")))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Aged</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Aged</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 IF(L131&gt;=31, "Middle Aged", IF(L131&lt;31, "Adolescent", "Invalid")))</f>
        <v>Middle Aged</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Aged</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Aged</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Aged</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 "Old", IF(L195&gt;=31, "Middle Aged", IF(L195&lt;31, "Adolescent", "Invalid")))</f>
        <v>Middle Aged</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Aged</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Aged</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Aged</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Aged</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Aged</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Aged</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 IF(L259&gt;=31, "Middle Aged", IF(L259&lt;31, "Adolescent", "Invalid")))</f>
        <v>Middle Aged</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Aged</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Aged</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Aged</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Aged</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 IF(L323&gt;=31, "Middle Aged", IF(L323&lt;31, "Adolescent", "Invalid")))</f>
        <v>Middle Aged</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Aged</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Aged</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Aged</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Aged</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 IF(L387&gt;=31, "Middle Aged", IF(L387&lt;31, "Adolescent", "Invalid")))</f>
        <v>Middle Aged</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Aged</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Aged</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Aged</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Aged</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Aged</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 IF(L451&gt;=31, "Middle Aged", IF(L451&lt;31, "Adolescent", "Invalid")))</f>
        <v>Middle Aged</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Aged</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Aged</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 "Old", IF(L515&gt;=31, "Middle Aged", IF(L515&lt;31, "Adolescent", "Invalid")))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Aged</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 IF(L579&gt;=31, "Middle Aged", IF(L579&lt;31, "Adolescent", "Invalid")))</f>
        <v>Middle Aged</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Aged</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Aged</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 "Old", IF(L643&gt;=31, "Middle Aged", IF(L643&lt;31, "Adolescent", "Invalid")))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Aged</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 "Old", IF(L707&gt;=31, "Middle Aged", IF(L707&lt;31, "Adolescent", "Invalid")))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Aged</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 "Old", IF(L771&gt;=31, "Middle Aged", IF(L771&lt;31, "Adolescent", "Invalid")))</f>
        <v>Middle Aged</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 "Old", IF(L835&gt;=31, "Middle Aged", IF(L835&lt;31, "Adolescent", "Invalid")))</f>
        <v>Middle Aged</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Aged</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 "Old", IF(L899&gt;=31, "Middle Aged", IF(L899&lt;31, "Adolescent", "Invalid")))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Aged</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Aged</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Aged</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 "Old", IF(L963&gt;=31, "Middle Aged", IF(L963&lt;31, "Adolescent", "Invalid")))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Aged</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Aged</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Aged</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C9A1-B766-454B-B73E-99341C3897EE}">
  <dimension ref="A3:D50"/>
  <sheetViews>
    <sheetView topLeftCell="A41" workbookViewId="0">
      <selection activeCell="P61" sqref="P6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3">
        <v>53440</v>
      </c>
      <c r="C5" s="3">
        <v>55774.058577405856</v>
      </c>
      <c r="D5" s="3">
        <v>54580.777096114522</v>
      </c>
    </row>
    <row r="6" spans="1:4" x14ac:dyDescent="0.3">
      <c r="A6" s="5" t="s">
        <v>38</v>
      </c>
      <c r="B6" s="3">
        <v>56208.178438661707</v>
      </c>
      <c r="C6" s="3">
        <v>60123.966942148763</v>
      </c>
      <c r="D6" s="3">
        <v>58062.62230919765</v>
      </c>
    </row>
    <row r="7" spans="1:4" x14ac:dyDescent="0.3">
      <c r="A7" s="5" t="s">
        <v>42</v>
      </c>
      <c r="B7" s="3">
        <v>54874.759152215796</v>
      </c>
      <c r="C7" s="3">
        <v>57962.577962577961</v>
      </c>
      <c r="D7" s="3">
        <v>56360</v>
      </c>
    </row>
    <row r="22" spans="1:4" x14ac:dyDescent="0.3">
      <c r="A22" s="4" t="s">
        <v>45</v>
      </c>
      <c r="B22" s="4" t="s">
        <v>44</v>
      </c>
    </row>
    <row r="23" spans="1:4" x14ac:dyDescent="0.3">
      <c r="A23" s="4" t="s">
        <v>41</v>
      </c>
      <c r="B23" t="s">
        <v>18</v>
      </c>
      <c r="C23" t="s">
        <v>15</v>
      </c>
      <c r="D23" t="s">
        <v>42</v>
      </c>
    </row>
    <row r="24" spans="1:4" x14ac:dyDescent="0.3">
      <c r="A24" s="5" t="s">
        <v>16</v>
      </c>
      <c r="B24">
        <v>166</v>
      </c>
      <c r="C24">
        <v>200</v>
      </c>
      <c r="D24">
        <v>366</v>
      </c>
    </row>
    <row r="25" spans="1:4" x14ac:dyDescent="0.3">
      <c r="A25" s="5" t="s">
        <v>26</v>
      </c>
      <c r="B25">
        <v>92</v>
      </c>
      <c r="C25">
        <v>77</v>
      </c>
      <c r="D25">
        <v>169</v>
      </c>
    </row>
    <row r="26" spans="1:4" x14ac:dyDescent="0.3">
      <c r="A26" s="5" t="s">
        <v>22</v>
      </c>
      <c r="B26">
        <v>67</v>
      </c>
      <c r="C26">
        <v>95</v>
      </c>
      <c r="D26">
        <v>162</v>
      </c>
    </row>
    <row r="27" spans="1:4" x14ac:dyDescent="0.3">
      <c r="A27" s="5" t="s">
        <v>23</v>
      </c>
      <c r="B27">
        <v>116</v>
      </c>
      <c r="C27">
        <v>76</v>
      </c>
      <c r="D27">
        <v>192</v>
      </c>
    </row>
    <row r="28" spans="1:4" x14ac:dyDescent="0.3">
      <c r="A28" s="5" t="s">
        <v>46</v>
      </c>
      <c r="B28">
        <v>78</v>
      </c>
      <c r="C28">
        <v>33</v>
      </c>
      <c r="D28">
        <v>111</v>
      </c>
    </row>
    <row r="29" spans="1:4" x14ac:dyDescent="0.3">
      <c r="A29" s="5" t="s">
        <v>42</v>
      </c>
      <c r="B29">
        <v>519</v>
      </c>
      <c r="C29">
        <v>481</v>
      </c>
      <c r="D29">
        <v>1000</v>
      </c>
    </row>
    <row r="45" spans="1:4" x14ac:dyDescent="0.3">
      <c r="A45" s="4" t="s">
        <v>45</v>
      </c>
      <c r="B45" s="4" t="s">
        <v>44</v>
      </c>
    </row>
    <row r="46" spans="1:4" x14ac:dyDescent="0.3">
      <c r="A46" s="4" t="s">
        <v>41</v>
      </c>
      <c r="B46" t="s">
        <v>18</v>
      </c>
      <c r="C46" t="s">
        <v>15</v>
      </c>
      <c r="D46" t="s">
        <v>42</v>
      </c>
    </row>
    <row r="47" spans="1:4" x14ac:dyDescent="0.3">
      <c r="A47" s="5" t="s">
        <v>47</v>
      </c>
      <c r="B47">
        <v>71</v>
      </c>
      <c r="C47">
        <v>39</v>
      </c>
      <c r="D47">
        <v>110</v>
      </c>
    </row>
    <row r="48" spans="1:4" x14ac:dyDescent="0.3">
      <c r="A48" s="5" t="s">
        <v>48</v>
      </c>
      <c r="B48">
        <v>318</v>
      </c>
      <c r="C48">
        <v>383</v>
      </c>
      <c r="D48">
        <v>701</v>
      </c>
    </row>
    <row r="49" spans="1:4" x14ac:dyDescent="0.3">
      <c r="A49" s="5" t="s">
        <v>49</v>
      </c>
      <c r="B49">
        <v>130</v>
      </c>
      <c r="C49">
        <v>59</v>
      </c>
      <c r="D49">
        <v>189</v>
      </c>
    </row>
    <row r="50" spans="1:4" x14ac:dyDescent="0.3">
      <c r="A50" s="5" t="s">
        <v>42</v>
      </c>
      <c r="B50">
        <v>519</v>
      </c>
      <c r="C50">
        <v>481</v>
      </c>
      <c r="D50">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5C899-BDDF-44BC-A119-9E6E0910E2CD}">
  <dimension ref="A1:M7"/>
  <sheetViews>
    <sheetView showGridLines="0" tabSelected="1" zoomScale="68" zoomScaleNormal="100" workbookViewId="0">
      <selection activeCell="R35" sqref="R35"/>
    </sheetView>
  </sheetViews>
  <sheetFormatPr defaultRowHeight="14.4" x14ac:dyDescent="0.3"/>
  <cols>
    <col min="1" max="12" width="8.88671875" style="6"/>
    <col min="13" max="13" width="24.88671875" style="6" customWidth="1"/>
    <col min="14" max="16384" width="8.88671875" style="6"/>
  </cols>
  <sheetData>
    <row r="1" spans="1:13" x14ac:dyDescent="0.3">
      <c r="A1" s="7" t="s">
        <v>50</v>
      </c>
      <c r="B1" s="8"/>
      <c r="C1" s="8"/>
      <c r="D1" s="8"/>
      <c r="E1" s="8"/>
      <c r="F1" s="8"/>
      <c r="G1" s="8"/>
      <c r="H1" s="8"/>
      <c r="I1" s="8"/>
      <c r="J1" s="8"/>
      <c r="K1" s="8"/>
      <c r="L1" s="8"/>
      <c r="M1" s="8"/>
    </row>
    <row r="2" spans="1:13" x14ac:dyDescent="0.3">
      <c r="A2" s="8"/>
      <c r="B2" s="8"/>
      <c r="C2" s="8"/>
      <c r="D2" s="8"/>
      <c r="E2" s="8"/>
      <c r="F2" s="8"/>
      <c r="G2" s="8"/>
      <c r="H2" s="8"/>
      <c r="I2" s="8"/>
      <c r="J2" s="8"/>
      <c r="K2" s="8"/>
      <c r="L2" s="8"/>
      <c r="M2" s="8"/>
    </row>
    <row r="3" spans="1:13" x14ac:dyDescent="0.3">
      <c r="A3" s="8"/>
      <c r="B3" s="8"/>
      <c r="C3" s="8"/>
      <c r="D3" s="8"/>
      <c r="E3" s="8"/>
      <c r="F3" s="8"/>
      <c r="G3" s="8"/>
      <c r="H3" s="8"/>
      <c r="I3" s="8"/>
      <c r="J3" s="8"/>
      <c r="K3" s="8"/>
      <c r="L3" s="8"/>
      <c r="M3" s="8"/>
    </row>
    <row r="4" spans="1:13" x14ac:dyDescent="0.3">
      <c r="A4" s="8"/>
      <c r="B4" s="8"/>
      <c r="C4" s="8"/>
      <c r="D4" s="8"/>
      <c r="E4" s="8"/>
      <c r="F4" s="8"/>
      <c r="G4" s="8"/>
      <c r="H4" s="8"/>
      <c r="I4" s="8"/>
      <c r="J4" s="8"/>
      <c r="K4" s="8"/>
      <c r="L4" s="8"/>
      <c r="M4" s="8"/>
    </row>
    <row r="5" spans="1:13" x14ac:dyDescent="0.3">
      <c r="A5" s="8"/>
      <c r="B5" s="8"/>
      <c r="C5" s="8"/>
      <c r="D5" s="8"/>
      <c r="E5" s="8"/>
      <c r="F5" s="8"/>
      <c r="G5" s="8"/>
      <c r="H5" s="8"/>
      <c r="I5" s="8"/>
      <c r="J5" s="8"/>
      <c r="K5" s="8"/>
      <c r="L5" s="8"/>
      <c r="M5" s="8"/>
    </row>
    <row r="6" spans="1:13" x14ac:dyDescent="0.3">
      <c r="A6" s="8"/>
      <c r="B6" s="8"/>
      <c r="C6" s="8"/>
      <c r="D6" s="8"/>
      <c r="E6" s="8"/>
      <c r="F6" s="8"/>
      <c r="G6" s="8"/>
      <c r="H6" s="8"/>
      <c r="I6" s="8"/>
      <c r="J6" s="8"/>
      <c r="K6" s="8"/>
      <c r="L6" s="8"/>
      <c r="M6" s="8"/>
    </row>
    <row r="7" spans="1:13" x14ac:dyDescent="0.3">
      <c r="A7" s="8"/>
      <c r="B7" s="8"/>
      <c r="C7" s="8"/>
      <c r="D7" s="8"/>
      <c r="E7" s="8"/>
      <c r="F7" s="8"/>
      <c r="G7" s="8"/>
      <c r="H7" s="8"/>
      <c r="I7" s="8"/>
      <c r="J7" s="8"/>
      <c r="K7" s="8"/>
      <c r="L7" s="8"/>
      <c r="M7" s="8"/>
    </row>
  </sheetData>
  <mergeCells count="1">
    <mergeCell ref="A1:M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bike_buyers(Raw 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Vedant Khollam</cp:lastModifiedBy>
  <dcterms:created xsi:type="dcterms:W3CDTF">2022-03-18T02:50:57Z</dcterms:created>
  <dcterms:modified xsi:type="dcterms:W3CDTF">2026-04-18T19:24:22Z</dcterms:modified>
</cp:coreProperties>
</file>